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FCC996-1F47-4C0C-8A2C-C5A0E106CF1A}" xr6:coauthVersionLast="47" xr6:coauthVersionMax="47" xr10:uidLastSave="{00000000-0000-0000-0000-000000000000}"/>
  <bookViews>
    <workbookView xWindow="1812" yWindow="1812" windowWidth="17280" windowHeight="8880" firstSheet="3" activeTab="4" xr2:uid="{2A1A27A0-8451-4BA3-9F4B-5B9284E93E71}"/>
  </bookViews>
  <sheets>
    <sheet name="Match_events" sheetId="1" r:id="rId1"/>
    <sheet name="Highlight scores" sheetId="2" r:id="rId2"/>
    <sheet name="Test results" sheetId="3" r:id="rId3"/>
    <sheet name="Future_impact_tracking" sheetId="4" r:id="rId4"/>
    <sheet name="Edge_case_testing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3" l="1"/>
  <c r="F13" i="3"/>
  <c r="C3" i="3"/>
  <c r="E3" i="3" s="1"/>
  <c r="F3" i="3" s="1"/>
  <c r="C4" i="3"/>
  <c r="E4" i="3" s="1"/>
  <c r="F4" i="3" s="1"/>
  <c r="C5" i="3"/>
  <c r="E5" i="3" s="1"/>
  <c r="F5" i="3" s="1"/>
  <c r="C6" i="3"/>
  <c r="E6" i="3" s="1"/>
  <c r="F6" i="3" s="1"/>
  <c r="C7" i="3"/>
  <c r="C8" i="3"/>
  <c r="C9" i="3"/>
  <c r="E9" i="3" s="1"/>
  <c r="F9" i="3" s="1"/>
  <c r="C10" i="3"/>
  <c r="E10" i="3" s="1"/>
  <c r="F10" i="3" s="1"/>
  <c r="C11" i="3"/>
  <c r="E11" i="3" s="1"/>
  <c r="F11" i="3" s="1"/>
  <c r="C12" i="3"/>
  <c r="E12" i="3" s="1"/>
  <c r="F12" i="3" s="1"/>
  <c r="C13" i="3"/>
  <c r="E13" i="3" s="1"/>
  <c r="C14" i="3"/>
  <c r="E14" i="3" s="1"/>
  <c r="F14" i="3" s="1"/>
  <c r="C15" i="3"/>
  <c r="C16" i="3"/>
  <c r="C2" i="3"/>
  <c r="E2" i="3" s="1"/>
  <c r="F2" i="3" s="1"/>
  <c r="L16" i="2"/>
  <c r="L12" i="2"/>
  <c r="L13" i="2"/>
  <c r="L8" i="2"/>
  <c r="L9" i="2"/>
  <c r="L4" i="2"/>
  <c r="L5" i="2"/>
  <c r="K3" i="2"/>
  <c r="K4" i="2"/>
  <c r="K5" i="2"/>
  <c r="K6" i="2"/>
  <c r="L6" i="2" s="1"/>
  <c r="K7" i="2"/>
  <c r="K8" i="2"/>
  <c r="K9" i="2"/>
  <c r="K10" i="2"/>
  <c r="L10" i="2" s="1"/>
  <c r="K11" i="2"/>
  <c r="K12" i="2"/>
  <c r="K13" i="2"/>
  <c r="K14" i="2"/>
  <c r="L14" i="2" s="1"/>
  <c r="K15" i="2"/>
  <c r="K16" i="2"/>
  <c r="K2" i="2"/>
  <c r="L2" i="2" s="1"/>
  <c r="B21" i="7"/>
  <c r="B20" i="7"/>
  <c r="B19" i="7"/>
  <c r="B18" i="7"/>
  <c r="B16" i="4"/>
  <c r="B15" i="4"/>
  <c r="B14" i="4"/>
  <c r="B13" i="4"/>
  <c r="B18" i="3"/>
  <c r="E7" i="3"/>
  <c r="F7" i="3" s="1"/>
  <c r="E8" i="3"/>
  <c r="F8" i="3" s="1"/>
  <c r="E15" i="3"/>
  <c r="E16" i="3"/>
  <c r="F16" i="3" s="1"/>
  <c r="L3" i="2"/>
  <c r="L7" i="2"/>
  <c r="L11" i="2"/>
  <c r="L15" i="2"/>
  <c r="B20" i="3" l="1"/>
  <c r="B22" i="3" s="1"/>
  <c r="B21" i="3"/>
  <c r="B19" i="3"/>
</calcChain>
</file>

<file path=xl/sharedStrings.xml><?xml version="1.0" encoding="utf-8"?>
<sst xmlns="http://schemas.openxmlformats.org/spreadsheetml/2006/main" count="384" uniqueCount="234">
  <si>
    <t>Batsman</t>
  </si>
  <si>
    <t>Bowler</t>
  </si>
  <si>
    <t>Commentary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</si>
  <si>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</si>
  <si>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</si>
  <si>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</si>
  <si>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</si>
  <si>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</si>
  <si>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</si>
  <si>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</si>
  <si>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</si>
  <si>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</si>
  <si>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</si>
  <si>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</si>
  <si>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</si>
  <si>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</si>
  <si>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</si>
  <si>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</si>
  <si>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Rohit Sharma</t>
  </si>
  <si>
    <t>Kohli</t>
  </si>
  <si>
    <t>Dhoni</t>
  </si>
  <si>
    <t>Gill</t>
  </si>
  <si>
    <t>Pant</t>
  </si>
  <si>
    <t>Hardik</t>
  </si>
  <si>
    <t>Iyer</t>
  </si>
  <si>
    <t>Bumrah</t>
  </si>
  <si>
    <t>Jadeja</t>
  </si>
  <si>
    <t>Chahal</t>
  </si>
  <si>
    <t>Kuldeep</t>
  </si>
  <si>
    <t>Dot ball</t>
  </si>
  <si>
    <t>Six</t>
  </si>
  <si>
    <t>Wicket</t>
  </si>
  <si>
    <t>Four</t>
  </si>
  <si>
    <t>Run out</t>
  </si>
  <si>
    <t>Good length, beaten outside off</t>
  </si>
  <si>
    <t>Massive six over long-on!</t>
  </si>
  <si>
    <t>OUT! Caught behind! Bumrah strikes</t>
  </si>
  <si>
    <t>Blocked back, quiet ball</t>
  </si>
  <si>
    <t>Driven beautifully through covers!</t>
  </si>
  <si>
    <t>Last ball six! Dhoni finishes it!</t>
  </si>
  <si>
    <t>Swept fine, racing to the boundary!</t>
  </si>
  <si>
    <t>Direct hit! Gill run out!</t>
  </si>
  <si>
    <t>Short ball, ducked under</t>
  </si>
  <si>
    <t>Unbelievable scoop shot! Audacious!</t>
  </si>
  <si>
    <t>Lofted over mid-off, well timed</t>
  </si>
  <si>
    <t>Bowled him! Through the gate!</t>
  </si>
  <si>
    <t>Tossed up, defended solidly</t>
  </si>
  <si>
    <t>Swept to the boundary, well played</t>
  </si>
  <si>
    <t>Last over six! Rohit goes big!</t>
  </si>
  <si>
    <t>Event type</t>
  </si>
  <si>
    <t>Event ID</t>
  </si>
  <si>
    <t>Video score</t>
  </si>
  <si>
    <t>Audio score</t>
  </si>
  <si>
    <t>NLP score</t>
  </si>
  <si>
    <t>Total score</t>
  </si>
  <si>
    <t>Is highlight</t>
  </si>
  <si>
    <t>Over no</t>
  </si>
  <si>
    <t>Ball no</t>
  </si>
  <si>
    <t>Runs scored</t>
  </si>
  <si>
    <t>Threshold</t>
  </si>
  <si>
    <t>Test status</t>
  </si>
  <si>
    <t>Total events tested</t>
  </si>
  <si>
    <t>Total highights detected</t>
  </si>
  <si>
    <t>Total passed</t>
  </si>
  <si>
    <t>Total failed</t>
  </si>
  <si>
    <t>Pass percentage</t>
  </si>
  <si>
    <t>Event id</t>
  </si>
  <si>
    <t>Over</t>
  </si>
  <si>
    <t>Ball</t>
  </si>
  <si>
    <t>Initial event</t>
  </si>
  <si>
    <t>Initial score</t>
  </si>
  <si>
    <t>Linked future event</t>
  </si>
  <si>
    <t>Future over</t>
  </si>
  <si>
    <t>Impact type</t>
  </si>
  <si>
    <t>Score boost</t>
  </si>
  <si>
    <t>Final score</t>
  </si>
  <si>
    <t>Highlight status</t>
  </si>
  <si>
    <t>Dropped catch — Kohli</t>
  </si>
  <si>
    <t>Near run out — Dhoni survives</t>
  </si>
  <si>
    <t>DRS review taken — OUT given</t>
  </si>
  <si>
    <t>Cheerleader movement detected</t>
  </si>
  <si>
    <t>Fireworks after boundary</t>
  </si>
  <si>
    <t>Dropped catch — Rohit survives</t>
  </si>
  <si>
    <t>Wicket — video corrupted</t>
  </si>
  <si>
    <t>Partnership at 95 runs</t>
  </si>
  <si>
    <t>First ball of super over</t>
  </si>
  <si>
    <t>Rain interruption over 10</t>
  </si>
  <si>
    <t>Kohli scores century at over 15</t>
  </si>
  <si>
    <t>Dhoni hits match winning six at over 20</t>
  </si>
  <si>
    <t>DRS overturns — NOT OUT confirmed</t>
  </si>
  <si>
    <t>False positive — not a game event</t>
  </si>
  <si>
    <t>False positive — external event</t>
  </si>
  <si>
    <t>Rohit scores 48 off 28 balls</t>
  </si>
  <si>
    <t>Scoreboard graphic used as fallback</t>
  </si>
  <si>
    <t>Partnership crosses 100 runs next ball</t>
  </si>
  <si>
    <t>Super over linked to main match result</t>
  </si>
  <si>
    <t>Match abandoned — DLS applied</t>
  </si>
  <si>
    <t xml:space="preserve">                    -</t>
  </si>
  <si>
    <t>Batsman milestone after dropped catch</t>
  </si>
  <si>
    <t>Match winner survived earlier</t>
  </si>
  <si>
    <t>Final DRS decision replaces initial</t>
  </si>
  <si>
    <t>Crowd bias false positive rejected</t>
  </si>
  <si>
    <t>Non-game audio rejected</t>
  </si>
  <si>
    <t>Batsman excels after dropped chance</t>
  </si>
  <si>
    <t>Corrupted video replaced with graphic</t>
  </si>
  <si>
    <t>Partnership milestone achieved</t>
  </si>
  <si>
    <t>Super over context boost applied</t>
  </si>
  <si>
    <t>Abandonment notice added to highlights</t>
  </si>
  <si>
    <t>YES — upgraded</t>
  </si>
  <si>
    <t>YES — DRS final decision</t>
  </si>
  <si>
    <t>NO — rejected</t>
  </si>
  <si>
    <t>YES — borderline upgraded</t>
  </si>
  <si>
    <t>YES — fallback used</t>
  </si>
  <si>
    <t>YES — milestone</t>
  </si>
  <si>
    <t>YES — super over</t>
  </si>
  <si>
    <t>NO — abandonment clip</t>
  </si>
  <si>
    <t>Total events tracked</t>
  </si>
  <si>
    <t>Events upgraded by future impact</t>
  </si>
  <si>
    <t>False positives rejected</t>
  </si>
  <si>
    <t>Corrupted clips with fallback</t>
  </si>
  <si>
    <t>Case id</t>
  </si>
  <si>
    <t>Scenario</t>
  </si>
  <si>
    <t>Input condition</t>
  </si>
  <si>
    <t>Expected output</t>
  </si>
  <si>
    <t>System response</t>
  </si>
  <si>
    <t>Handling method</t>
  </si>
  <si>
    <t>EC001</t>
  </si>
  <si>
    <t>EC002</t>
  </si>
  <si>
    <t>EC003</t>
  </si>
  <si>
    <t>EC004</t>
  </si>
  <si>
    <t>EC005</t>
  </si>
  <si>
    <t>EC006</t>
  </si>
  <si>
    <t>EC007</t>
  </si>
  <si>
    <t>EC008</t>
  </si>
  <si>
    <t>EC009</t>
  </si>
  <si>
    <t>EC010</t>
  </si>
  <si>
    <t>EC011</t>
  </si>
  <si>
    <t>EC012</t>
  </si>
  <si>
    <t>EC013</t>
  </si>
  <si>
    <t>EC014</t>
  </si>
  <si>
    <t>EC015</t>
  </si>
  <si>
    <t>No highlights scenario</t>
  </si>
  <si>
    <t>Match has only singles, no wickets, no boundaries</t>
  </si>
  <si>
    <t>Output: No highlights available message</t>
  </si>
  <si>
    <t>System checks if max score in dataset is below 40 — triggers no highlight flag</t>
  </si>
  <si>
    <t>PASS</t>
  </si>
  <si>
    <t>Minimum threshold check on entire dataset</t>
  </si>
  <si>
    <t>Excessive highlights</t>
  </si>
  <si>
    <t>T20 match with 400+ runs — 30 potential highlights detected</t>
  </si>
  <si>
    <t>Trim to top 10 events within 10 minute limit</t>
  </si>
  <si>
    <t>Priority queue sorts by score, selects top events until 10 min filled</t>
  </si>
  <si>
    <t>Priority queue with time budget constraint</t>
  </si>
  <si>
    <t>Minimum duration fallback logic</t>
  </si>
  <si>
    <t>Temporal partitioning by day</t>
  </si>
  <si>
    <t>Mandatory event override flag</t>
  </si>
  <si>
    <t>Scoreboard as ground truth fallback</t>
  </si>
  <si>
    <t>Multi-modal fallback — audio and graphic</t>
  </si>
  <si>
    <t>Pre-processing sort by timestamp</t>
  </si>
  <si>
    <t>Greedy time trimming algorithm</t>
  </si>
  <si>
    <t>Abandonment detection via API flag</t>
  </si>
  <si>
    <t>Decision pending state — hold and wait</t>
  </si>
  <si>
    <t>Event classifier with rejection filter</t>
  </si>
  <si>
    <t>Audio signature filtering</t>
  </si>
  <si>
    <t>Frame hash comparison deduplication</t>
  </si>
  <si>
    <t>Event merging for same-ball multi-events</t>
  </si>
  <si>
    <t>System ensures minimum 3 minute reel by including lower score events</t>
  </si>
  <si>
    <t>System partitions events by day boundary, generates one reel per day</t>
  </si>
  <si>
    <t>System flags super over as mandatory inclusion regardless of score</t>
  </si>
  <si>
    <t>Scoreboard API name overrides jersey OCR detection</t>
  </si>
  <si>
    <t>System detects missing frames, switches to graphic overlay + audio</t>
  </si>
  <si>
    <t>Timestamp sorting applied before highlight scoring pipeline</t>
  </si>
  <si>
    <t>Iteratively remove lowest score event until time budget met</t>
  </si>
  <si>
    <t>System detects abandonment flag from scorecard API — special reel generated</t>
  </si>
  <si>
    <t>System waits for DRS final decision before scoring the event</t>
  </si>
  <si>
    <t>Computer vision classifier trained to distinguish game vs non-game motion</t>
  </si>
  <si>
    <t>Firework audio signature pre-identified and filtered from crowd decibel</t>
  </si>
  <si>
    <t>Frame similarity detection removes duplicate content</t>
  </si>
  <si>
    <t>System detects overlapping timestamps and merges event scores</t>
  </si>
  <si>
    <t>Combine both events — apply highest combined score</t>
  </si>
  <si>
    <t>Include only once — best angle selected</t>
  </si>
  <si>
    <t>Reduce audio weight for known celebration patterns</t>
  </si>
  <si>
    <t>Reject — non-game event detected</t>
  </si>
  <si>
    <t>Do not include pre-DRS crowd reaction as highlight</t>
  </si>
  <si>
    <t>Show toss, first 5 overs highlights, abandonment notice</t>
  </si>
  <si>
    <t>Trim lowest scoring events until 10 min reached</t>
  </si>
  <si>
    <t>Events reordered by timestamp before scoring</t>
  </si>
  <si>
    <t>Scoreboard graphic with commentary audio used</t>
  </si>
  <si>
    <t>Corrected using scoreboard ground truth</t>
  </si>
  <si>
    <t>Both regular match and super over included in highlights</t>
  </si>
  <si>
    <t>Daily highlight package per day — 5 separate reels</t>
  </si>
  <si>
    <t>Minimum highlight reel using toss, crowd shots, key wickets</t>
  </si>
  <si>
    <t>Team all out in 10 overs — limited content</t>
  </si>
  <si>
    <t>5 day test match — 1800 balls bowled</t>
  </si>
  <si>
    <t>Main match tied — super over played</t>
  </si>
  <si>
    <t>Wrong player name on jersey — Kohli shown as Sharma</t>
  </si>
  <si>
    <t>Camera feed drops for 2 overs — video missing</t>
  </si>
  <si>
    <t>Events logged out of order — over 15 before over 10</t>
  </si>
  <si>
    <t>Raw highlights total 18 minutes — exceeds 10 min limit</t>
  </si>
  <si>
    <t>Match stopped at over 12 due to rain</t>
  </si>
  <si>
    <t>Crowd erupts when LBW appeal made — before DRS result</t>
  </si>
  <si>
    <t>Camera detects movement — triggers visual signal spike</t>
  </si>
  <si>
    <t>Audio spike detected during boundary — fireworks in crowd</t>
  </si>
  <si>
    <t>Same six shown three times from different camera angles</t>
  </si>
  <si>
    <t>No ball + six hit simultaneously</t>
  </si>
  <si>
    <t>Multi-event same ball</t>
  </si>
  <si>
    <t>Duplicate replay detection</t>
  </si>
  <si>
    <t>Fireworks false positive</t>
  </si>
  <si>
    <t>Cheerleader false positive</t>
  </si>
  <si>
    <t>DRS false start reaction</t>
  </si>
  <si>
    <t>Rain abandoned match</t>
  </si>
  <si>
    <t>Highlight length exceeded</t>
  </si>
  <si>
    <t>Wrong timestamp</t>
  </si>
  <si>
    <t>Corrupted video segment</t>
  </si>
  <si>
    <t>Metadata error</t>
  </si>
  <si>
    <t>Super over scenario</t>
  </si>
  <si>
    <t>Very long match — Test cricket</t>
  </si>
  <si>
    <t>Very short match</t>
  </si>
  <si>
    <t>Total edge cases tested</t>
  </si>
  <si>
    <t>Catch difficulty score</t>
  </si>
  <si>
    <t>Trajectory score</t>
  </si>
  <si>
    <t>Milestone score</t>
  </si>
  <si>
    <t>Partnership score</t>
  </si>
  <si>
    <t>Match pressure score</t>
  </si>
  <si>
    <t>Shami</t>
  </si>
  <si>
    <t>Partmership runs</t>
  </si>
  <si>
    <t>Match situation</t>
  </si>
  <si>
    <t>Normal play</t>
  </si>
  <si>
    <t>Powerplay over</t>
  </si>
  <si>
    <t>Last over</t>
  </si>
  <si>
    <t>Death over</t>
  </si>
  <si>
    <t>Last over-last ball need 6 to win</t>
  </si>
  <si>
    <t>Player milestone</t>
  </si>
  <si>
    <t>None</t>
  </si>
  <si>
    <t>Rohit 48 off 28 balls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</si>
</sst>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1" fillId="0" borderId="1" xfId="0" applyFont="1" applyBorder="1"/>
    <xf numFmtId="0" fontId="0" fillId="2" borderId="0" xfId="0" applyFill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E3D9-3640-4D01-84E0-6C96E9B3B23F}">
  <dimension ref="A1:K16"/>
  <sheetViews>
    <sheetView zoomScale="78" workbookViewId="0">
      <selection activeCell="J18" sqref="J18"/>
    </sheetView>
  </sheetViews>
  <sheetFormatPr defaultRowHeight="14.4"/>
  <cols>
    <col min="6" max="6" width="10.44140625" customWidth="1"/>
    <col min="7" max="7" width="15.6640625" bestFit="1" customWidth="1"/>
    <col min="8" max="8" width="27.21875" bestFit="1" customWidth="1"/>
    <col min="9" max="9" width="17.44140625" bestFit="1" customWidth="1"/>
    <col min="10" max="10" width="11.6640625" customWidth="1"/>
    <col min="11" max="11" width="31" customWidth="1"/>
  </cols>
  <sheetData>
    <row r="1" spans="1:11">
      <c r="A1" s="1" t="s">
        <v>50</v>
      </c>
      <c r="B1" s="1" t="s">
        <v>56</v>
      </c>
      <c r="C1" s="1" t="s">
        <v>57</v>
      </c>
      <c r="D1" s="1" t="s">
        <v>0</v>
      </c>
      <c r="E1" s="1" t="s">
        <v>1</v>
      </c>
      <c r="F1" s="1" t="s">
        <v>49</v>
      </c>
      <c r="G1" s="1" t="s">
        <v>224</v>
      </c>
      <c r="H1" s="1" t="s">
        <v>225</v>
      </c>
      <c r="I1" s="1" t="s">
        <v>231</v>
      </c>
      <c r="J1" s="1" t="s">
        <v>58</v>
      </c>
      <c r="K1" s="1" t="s">
        <v>2</v>
      </c>
    </row>
    <row r="2" spans="1:11">
      <c r="A2" t="s">
        <v>3</v>
      </c>
      <c r="B2">
        <v>1</v>
      </c>
      <c r="C2">
        <v>1</v>
      </c>
      <c r="D2" t="s">
        <v>18</v>
      </c>
      <c r="E2" t="s">
        <v>25</v>
      </c>
      <c r="F2" t="s">
        <v>29</v>
      </c>
      <c r="G2">
        <v>0</v>
      </c>
      <c r="H2" t="s">
        <v>226</v>
      </c>
      <c r="I2" t="s">
        <v>232</v>
      </c>
      <c r="J2">
        <v>0</v>
      </c>
      <c r="K2" t="s">
        <v>34</v>
      </c>
    </row>
    <row r="3" spans="1:11">
      <c r="A3" t="s">
        <v>4</v>
      </c>
      <c r="B3">
        <v>1</v>
      </c>
      <c r="C3">
        <v>2</v>
      </c>
      <c r="D3" t="s">
        <v>18</v>
      </c>
      <c r="E3" t="s">
        <v>25</v>
      </c>
      <c r="F3" t="s">
        <v>32</v>
      </c>
      <c r="G3">
        <v>4</v>
      </c>
      <c r="H3" t="s">
        <v>226</v>
      </c>
      <c r="I3" t="s">
        <v>232</v>
      </c>
      <c r="J3">
        <v>4</v>
      </c>
      <c r="K3" t="s">
        <v>38</v>
      </c>
    </row>
    <row r="4" spans="1:11">
      <c r="A4" t="s">
        <v>5</v>
      </c>
      <c r="B4">
        <v>1</v>
      </c>
      <c r="C4">
        <v>3</v>
      </c>
      <c r="D4" t="s">
        <v>19</v>
      </c>
      <c r="E4" t="s">
        <v>25</v>
      </c>
      <c r="F4" t="s">
        <v>30</v>
      </c>
      <c r="G4">
        <v>10</v>
      </c>
      <c r="H4" t="s">
        <v>227</v>
      </c>
      <c r="I4" t="s">
        <v>232</v>
      </c>
      <c r="J4">
        <v>6</v>
      </c>
      <c r="K4" t="s">
        <v>35</v>
      </c>
    </row>
    <row r="5" spans="1:11">
      <c r="A5" t="s">
        <v>6</v>
      </c>
      <c r="B5">
        <v>1</v>
      </c>
      <c r="C5">
        <v>4</v>
      </c>
      <c r="D5" t="s">
        <v>19</v>
      </c>
      <c r="E5" t="s">
        <v>25</v>
      </c>
      <c r="F5" t="s">
        <v>31</v>
      </c>
      <c r="G5">
        <v>16</v>
      </c>
      <c r="H5" t="s">
        <v>227</v>
      </c>
      <c r="I5" t="s">
        <v>232</v>
      </c>
      <c r="J5">
        <v>0</v>
      </c>
      <c r="K5" t="s">
        <v>36</v>
      </c>
    </row>
    <row r="6" spans="1:11">
      <c r="A6" t="s">
        <v>7</v>
      </c>
      <c r="B6">
        <v>2</v>
      </c>
      <c r="C6">
        <v>1</v>
      </c>
      <c r="D6" t="s">
        <v>20</v>
      </c>
      <c r="E6" t="s">
        <v>26</v>
      </c>
      <c r="F6" t="s">
        <v>29</v>
      </c>
      <c r="G6">
        <v>0</v>
      </c>
      <c r="H6" t="s">
        <v>226</v>
      </c>
      <c r="I6" t="s">
        <v>232</v>
      </c>
      <c r="J6">
        <v>0</v>
      </c>
      <c r="K6" t="s">
        <v>37</v>
      </c>
    </row>
    <row r="7" spans="1:11">
      <c r="A7" t="s">
        <v>8</v>
      </c>
      <c r="B7">
        <v>2</v>
      </c>
      <c r="C7">
        <v>2</v>
      </c>
      <c r="D7" t="s">
        <v>20</v>
      </c>
      <c r="E7" t="s">
        <v>26</v>
      </c>
      <c r="F7" t="s">
        <v>30</v>
      </c>
      <c r="G7">
        <v>0</v>
      </c>
      <c r="H7" t="s">
        <v>228</v>
      </c>
      <c r="I7" t="s">
        <v>232</v>
      </c>
      <c r="J7">
        <v>6</v>
      </c>
      <c r="K7" t="s">
        <v>39</v>
      </c>
    </row>
    <row r="8" spans="1:11">
      <c r="A8" t="s">
        <v>9</v>
      </c>
      <c r="B8">
        <v>2</v>
      </c>
      <c r="C8">
        <v>3</v>
      </c>
      <c r="D8" t="s">
        <v>20</v>
      </c>
      <c r="E8" t="s">
        <v>26</v>
      </c>
      <c r="F8" t="s">
        <v>32</v>
      </c>
      <c r="G8">
        <v>6</v>
      </c>
      <c r="H8" t="s">
        <v>228</v>
      </c>
      <c r="I8" t="s">
        <v>232</v>
      </c>
      <c r="J8">
        <v>4</v>
      </c>
      <c r="K8" t="s">
        <v>40</v>
      </c>
    </row>
    <row r="9" spans="1:11">
      <c r="A9" t="s">
        <v>10</v>
      </c>
      <c r="B9">
        <v>3</v>
      </c>
      <c r="C9">
        <v>1</v>
      </c>
      <c r="D9" t="s">
        <v>21</v>
      </c>
      <c r="E9" t="s">
        <v>223</v>
      </c>
      <c r="F9" t="s">
        <v>33</v>
      </c>
      <c r="G9">
        <v>0</v>
      </c>
      <c r="H9" t="s">
        <v>226</v>
      </c>
      <c r="I9" t="s">
        <v>232</v>
      </c>
      <c r="J9">
        <v>0</v>
      </c>
      <c r="K9" t="s">
        <v>41</v>
      </c>
    </row>
    <row r="10" spans="1:11">
      <c r="A10" t="s">
        <v>11</v>
      </c>
      <c r="B10">
        <v>3</v>
      </c>
      <c r="C10">
        <v>2</v>
      </c>
      <c r="D10" t="s">
        <v>22</v>
      </c>
      <c r="E10" t="s">
        <v>223</v>
      </c>
      <c r="F10" t="s">
        <v>29</v>
      </c>
      <c r="G10">
        <v>0</v>
      </c>
      <c r="H10" t="s">
        <v>226</v>
      </c>
      <c r="I10" t="s">
        <v>232</v>
      </c>
      <c r="J10">
        <v>0</v>
      </c>
      <c r="K10" t="s">
        <v>42</v>
      </c>
    </row>
    <row r="11" spans="1:11">
      <c r="A11" t="s">
        <v>12</v>
      </c>
      <c r="B11">
        <v>3</v>
      </c>
      <c r="C11">
        <v>3</v>
      </c>
      <c r="D11" t="s">
        <v>22</v>
      </c>
      <c r="E11" t="s">
        <v>223</v>
      </c>
      <c r="F11" t="s">
        <v>30</v>
      </c>
      <c r="G11">
        <v>6</v>
      </c>
      <c r="H11" t="s">
        <v>229</v>
      </c>
      <c r="I11" t="s">
        <v>232</v>
      </c>
      <c r="J11">
        <v>6</v>
      </c>
      <c r="K11" t="s">
        <v>43</v>
      </c>
    </row>
    <row r="12" spans="1:11">
      <c r="A12" t="s">
        <v>13</v>
      </c>
      <c r="B12">
        <v>4</v>
      </c>
      <c r="C12">
        <v>1</v>
      </c>
      <c r="D12" t="s">
        <v>23</v>
      </c>
      <c r="E12" t="s">
        <v>27</v>
      </c>
      <c r="F12" t="s">
        <v>32</v>
      </c>
      <c r="G12">
        <v>10</v>
      </c>
      <c r="H12" t="s">
        <v>229</v>
      </c>
      <c r="I12" t="s">
        <v>232</v>
      </c>
      <c r="J12">
        <v>4</v>
      </c>
      <c r="K12" t="s">
        <v>44</v>
      </c>
    </row>
    <row r="13" spans="1:11">
      <c r="A13" t="s">
        <v>14</v>
      </c>
      <c r="B13">
        <v>4</v>
      </c>
      <c r="C13">
        <v>2</v>
      </c>
      <c r="D13" t="s">
        <v>23</v>
      </c>
      <c r="E13" t="s">
        <v>27</v>
      </c>
      <c r="F13" t="s">
        <v>31</v>
      </c>
      <c r="G13">
        <v>0</v>
      </c>
      <c r="H13" t="s">
        <v>229</v>
      </c>
      <c r="I13" t="s">
        <v>232</v>
      </c>
      <c r="J13">
        <v>0</v>
      </c>
      <c r="K13" t="s">
        <v>45</v>
      </c>
    </row>
    <row r="14" spans="1:11">
      <c r="A14" t="s">
        <v>15</v>
      </c>
      <c r="B14">
        <v>5</v>
      </c>
      <c r="C14">
        <v>1</v>
      </c>
      <c r="D14" t="s">
        <v>24</v>
      </c>
      <c r="E14" t="s">
        <v>28</v>
      </c>
      <c r="F14" t="s">
        <v>29</v>
      </c>
      <c r="G14">
        <v>0</v>
      </c>
      <c r="H14" t="s">
        <v>226</v>
      </c>
      <c r="I14" t="s">
        <v>232</v>
      </c>
      <c r="J14">
        <v>0</v>
      </c>
      <c r="K14" t="s">
        <v>46</v>
      </c>
    </row>
    <row r="15" spans="1:11">
      <c r="A15" t="s">
        <v>16</v>
      </c>
      <c r="B15">
        <v>5</v>
      </c>
      <c r="C15">
        <v>2</v>
      </c>
      <c r="D15" t="s">
        <v>24</v>
      </c>
      <c r="E15" t="s">
        <v>28</v>
      </c>
      <c r="F15" t="s">
        <v>32</v>
      </c>
      <c r="G15">
        <v>4</v>
      </c>
      <c r="H15" t="s">
        <v>226</v>
      </c>
      <c r="I15" t="s">
        <v>232</v>
      </c>
      <c r="J15">
        <v>4</v>
      </c>
      <c r="K15" t="s">
        <v>47</v>
      </c>
    </row>
    <row r="16" spans="1:11">
      <c r="A16" t="s">
        <v>17</v>
      </c>
      <c r="B16">
        <v>6</v>
      </c>
      <c r="C16">
        <v>1</v>
      </c>
      <c r="D16" t="s">
        <v>18</v>
      </c>
      <c r="E16" t="s">
        <v>25</v>
      </c>
      <c r="F16" t="s">
        <v>30</v>
      </c>
      <c r="G16">
        <v>60</v>
      </c>
      <c r="H16" t="s">
        <v>230</v>
      </c>
      <c r="I16" t="s">
        <v>233</v>
      </c>
      <c r="J16">
        <v>6</v>
      </c>
      <c r="K16" t="s">
        <v>48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3D0B-48E7-464E-9069-484D5F79762D}">
  <dimension ref="A1:M16"/>
  <sheetViews>
    <sheetView zoomScale="67" workbookViewId="0">
      <selection activeCell="B17" sqref="B17"/>
    </sheetView>
  </sheetViews>
  <sheetFormatPr defaultRowHeight="14.4"/>
  <cols>
    <col min="1" max="1" width="8" bestFit="1" customWidth="1"/>
    <col min="2" max="2" width="10" bestFit="1" customWidth="1"/>
    <col min="3" max="3" width="10.77734375" bestFit="1" customWidth="1"/>
    <col min="4" max="4" width="10.88671875" bestFit="1" customWidth="1"/>
    <col min="5" max="5" width="9.21875" bestFit="1" customWidth="1"/>
    <col min="6" max="6" width="19.44140625" bestFit="1" customWidth="1"/>
    <col min="7" max="7" width="16" bestFit="1" customWidth="1"/>
    <col min="8" max="10" width="9.21875" customWidth="1"/>
    <col min="11" max="12" width="10.109375" bestFit="1" customWidth="1"/>
  </cols>
  <sheetData>
    <row r="1" spans="1:13">
      <c r="A1" s="1" t="s">
        <v>50</v>
      </c>
      <c r="B1" s="1" t="s">
        <v>49</v>
      </c>
      <c r="C1" s="1" t="s">
        <v>51</v>
      </c>
      <c r="D1" s="1" t="s">
        <v>52</v>
      </c>
      <c r="E1" s="1" t="s">
        <v>53</v>
      </c>
      <c r="F1" s="1" t="s">
        <v>222</v>
      </c>
      <c r="G1" s="1" t="s">
        <v>221</v>
      </c>
      <c r="H1" s="1" t="s">
        <v>220</v>
      </c>
      <c r="I1" s="1" t="s">
        <v>219</v>
      </c>
      <c r="J1" s="1" t="s">
        <v>218</v>
      </c>
      <c r="K1" s="1" t="s">
        <v>54</v>
      </c>
      <c r="L1" s="1" t="s">
        <v>55</v>
      </c>
    </row>
    <row r="2" spans="1:13">
      <c r="A2" t="s">
        <v>3</v>
      </c>
      <c r="B2" t="s">
        <v>29</v>
      </c>
      <c r="C2">
        <v>5</v>
      </c>
      <c r="D2">
        <v>5</v>
      </c>
      <c r="E2">
        <v>5</v>
      </c>
      <c r="F2">
        <v>5</v>
      </c>
      <c r="G2">
        <v>0</v>
      </c>
      <c r="H2">
        <v>0</v>
      </c>
      <c r="I2">
        <v>5</v>
      </c>
      <c r="J2">
        <v>0</v>
      </c>
      <c r="K2">
        <f>C2+D2+E2+F2+G2+H2+I2+J2</f>
        <v>25</v>
      </c>
      <c r="L2" s="2" t="str">
        <f>IF(K2&gt;=70,"yes","no")</f>
        <v>no</v>
      </c>
    </row>
    <row r="3" spans="1:13">
      <c r="A3" t="s">
        <v>4</v>
      </c>
      <c r="B3" t="s">
        <v>32</v>
      </c>
      <c r="C3">
        <v>25</v>
      </c>
      <c r="D3">
        <v>20</v>
      </c>
      <c r="E3">
        <v>15</v>
      </c>
      <c r="F3">
        <v>10</v>
      </c>
      <c r="G3">
        <v>0</v>
      </c>
      <c r="H3">
        <v>0</v>
      </c>
      <c r="I3">
        <v>15</v>
      </c>
      <c r="J3">
        <v>0</v>
      </c>
      <c r="K3">
        <f t="shared" ref="K3:K16" si="0">C3+D3+E3+F3+G3+H3+I3+J3</f>
        <v>85</v>
      </c>
      <c r="L3" s="9" t="str">
        <f t="shared" ref="L3:L16" si="1">IF(K3&gt;=70,"yes","no")</f>
        <v>yes</v>
      </c>
    </row>
    <row r="4" spans="1:13">
      <c r="A4" t="s">
        <v>5</v>
      </c>
      <c r="B4" t="s">
        <v>30</v>
      </c>
      <c r="C4">
        <v>40</v>
      </c>
      <c r="D4">
        <v>30</v>
      </c>
      <c r="E4">
        <v>20</v>
      </c>
      <c r="F4">
        <v>15</v>
      </c>
      <c r="G4">
        <v>0</v>
      </c>
      <c r="H4">
        <v>0</v>
      </c>
      <c r="I4">
        <v>30</v>
      </c>
      <c r="J4">
        <v>0</v>
      </c>
      <c r="K4">
        <f t="shared" si="0"/>
        <v>135</v>
      </c>
      <c r="L4" s="9" t="str">
        <f t="shared" si="1"/>
        <v>yes</v>
      </c>
    </row>
    <row r="5" spans="1:13">
      <c r="A5" t="s">
        <v>6</v>
      </c>
      <c r="B5" t="s">
        <v>31</v>
      </c>
      <c r="C5">
        <v>35</v>
      </c>
      <c r="D5">
        <v>30</v>
      </c>
      <c r="E5">
        <v>25</v>
      </c>
      <c r="F5">
        <v>15</v>
      </c>
      <c r="G5">
        <v>0</v>
      </c>
      <c r="H5">
        <v>0</v>
      </c>
      <c r="I5">
        <v>10</v>
      </c>
      <c r="J5">
        <v>25</v>
      </c>
      <c r="K5">
        <f t="shared" si="0"/>
        <v>140</v>
      </c>
      <c r="L5" s="9" t="str">
        <f t="shared" si="1"/>
        <v>yes</v>
      </c>
    </row>
    <row r="6" spans="1:13">
      <c r="A6" t="s">
        <v>7</v>
      </c>
      <c r="B6" t="s">
        <v>29</v>
      </c>
      <c r="C6">
        <v>5</v>
      </c>
      <c r="D6">
        <v>5</v>
      </c>
      <c r="E6">
        <v>5</v>
      </c>
      <c r="F6">
        <v>5</v>
      </c>
      <c r="G6">
        <v>0</v>
      </c>
      <c r="H6">
        <v>0</v>
      </c>
      <c r="I6">
        <v>5</v>
      </c>
      <c r="J6">
        <v>0</v>
      </c>
      <c r="K6">
        <f t="shared" si="0"/>
        <v>25</v>
      </c>
      <c r="L6" s="2" t="str">
        <f t="shared" si="1"/>
        <v>no</v>
      </c>
    </row>
    <row r="7" spans="1:13">
      <c r="A7" t="s">
        <v>8</v>
      </c>
      <c r="B7" t="s">
        <v>30</v>
      </c>
      <c r="C7">
        <v>40</v>
      </c>
      <c r="D7">
        <v>35</v>
      </c>
      <c r="E7">
        <v>25</v>
      </c>
      <c r="F7">
        <v>40</v>
      </c>
      <c r="G7">
        <v>0</v>
      </c>
      <c r="H7">
        <v>0</v>
      </c>
      <c r="I7">
        <v>35</v>
      </c>
      <c r="J7">
        <v>0</v>
      </c>
      <c r="K7">
        <f t="shared" si="0"/>
        <v>175</v>
      </c>
      <c r="L7" s="9" t="str">
        <f t="shared" si="1"/>
        <v>yes</v>
      </c>
    </row>
    <row r="8" spans="1:13">
      <c r="A8" t="s">
        <v>9</v>
      </c>
      <c r="B8" t="s">
        <v>32</v>
      </c>
      <c r="C8">
        <v>25</v>
      </c>
      <c r="D8">
        <v>20</v>
      </c>
      <c r="E8">
        <v>15</v>
      </c>
      <c r="F8">
        <v>40</v>
      </c>
      <c r="G8">
        <v>0</v>
      </c>
      <c r="H8">
        <v>0</v>
      </c>
      <c r="I8">
        <v>15</v>
      </c>
      <c r="J8">
        <v>0</v>
      </c>
      <c r="K8">
        <f t="shared" si="0"/>
        <v>115</v>
      </c>
      <c r="L8" s="9" t="str">
        <f t="shared" si="1"/>
        <v>yes</v>
      </c>
    </row>
    <row r="9" spans="1:13">
      <c r="A9" t="s">
        <v>10</v>
      </c>
      <c r="B9" t="s">
        <v>33</v>
      </c>
      <c r="C9">
        <v>35</v>
      </c>
      <c r="D9">
        <v>30</v>
      </c>
      <c r="E9">
        <v>20</v>
      </c>
      <c r="F9">
        <v>10</v>
      </c>
      <c r="G9">
        <v>0</v>
      </c>
      <c r="H9">
        <v>0</v>
      </c>
      <c r="I9">
        <v>10</v>
      </c>
      <c r="J9">
        <v>20</v>
      </c>
      <c r="K9">
        <f t="shared" si="0"/>
        <v>125</v>
      </c>
      <c r="L9" s="9" t="str">
        <f t="shared" si="1"/>
        <v>yes</v>
      </c>
    </row>
    <row r="10" spans="1:13">
      <c r="A10" t="s">
        <v>11</v>
      </c>
      <c r="B10" t="s">
        <v>29</v>
      </c>
      <c r="C10">
        <v>5</v>
      </c>
      <c r="D10">
        <v>5</v>
      </c>
      <c r="E10">
        <v>5</v>
      </c>
      <c r="F10">
        <v>5</v>
      </c>
      <c r="G10">
        <v>0</v>
      </c>
      <c r="H10">
        <v>0</v>
      </c>
      <c r="I10">
        <v>5</v>
      </c>
      <c r="J10">
        <v>0</v>
      </c>
      <c r="K10">
        <f t="shared" si="0"/>
        <v>25</v>
      </c>
      <c r="L10" s="2" t="str">
        <f t="shared" si="1"/>
        <v>no</v>
      </c>
      <c r="M10" s="3"/>
    </row>
    <row r="11" spans="1:13">
      <c r="A11" t="s">
        <v>12</v>
      </c>
      <c r="B11" t="s">
        <v>30</v>
      </c>
      <c r="C11">
        <v>40</v>
      </c>
      <c r="D11">
        <v>35</v>
      </c>
      <c r="E11">
        <v>25</v>
      </c>
      <c r="F11">
        <v>20</v>
      </c>
      <c r="G11">
        <v>0</v>
      </c>
      <c r="H11">
        <v>0</v>
      </c>
      <c r="I11">
        <v>35</v>
      </c>
      <c r="J11">
        <v>0</v>
      </c>
      <c r="K11">
        <f t="shared" si="0"/>
        <v>155</v>
      </c>
      <c r="L11" s="9" t="str">
        <f t="shared" si="1"/>
        <v>yes</v>
      </c>
    </row>
    <row r="12" spans="1:13">
      <c r="A12" t="s">
        <v>13</v>
      </c>
      <c r="B12" t="s">
        <v>32</v>
      </c>
      <c r="C12">
        <v>25</v>
      </c>
      <c r="D12">
        <v>20</v>
      </c>
      <c r="E12">
        <v>15</v>
      </c>
      <c r="F12">
        <v>20</v>
      </c>
      <c r="G12">
        <v>0</v>
      </c>
      <c r="H12">
        <v>0</v>
      </c>
      <c r="I12">
        <v>15</v>
      </c>
      <c r="J12">
        <v>0</v>
      </c>
      <c r="K12">
        <f t="shared" si="0"/>
        <v>95</v>
      </c>
      <c r="L12" s="9" t="str">
        <f t="shared" si="1"/>
        <v>yes</v>
      </c>
    </row>
    <row r="13" spans="1:13">
      <c r="A13" t="s">
        <v>14</v>
      </c>
      <c r="B13" t="s">
        <v>31</v>
      </c>
      <c r="C13">
        <v>35</v>
      </c>
      <c r="D13">
        <v>30</v>
      </c>
      <c r="E13">
        <v>25</v>
      </c>
      <c r="F13">
        <v>20</v>
      </c>
      <c r="G13">
        <v>0</v>
      </c>
      <c r="H13">
        <v>0</v>
      </c>
      <c r="I13">
        <v>20</v>
      </c>
      <c r="J13">
        <v>35</v>
      </c>
      <c r="K13">
        <f t="shared" si="0"/>
        <v>165</v>
      </c>
      <c r="L13" s="9" t="str">
        <f t="shared" si="1"/>
        <v>yes</v>
      </c>
    </row>
    <row r="14" spans="1:13">
      <c r="A14" t="s">
        <v>15</v>
      </c>
      <c r="B14" t="s">
        <v>29</v>
      </c>
      <c r="C14">
        <v>5</v>
      </c>
      <c r="D14">
        <v>5</v>
      </c>
      <c r="E14">
        <v>5</v>
      </c>
      <c r="F14">
        <v>5</v>
      </c>
      <c r="G14">
        <v>0</v>
      </c>
      <c r="H14">
        <v>0</v>
      </c>
      <c r="I14">
        <v>5</v>
      </c>
      <c r="J14">
        <v>0</v>
      </c>
      <c r="K14">
        <f t="shared" si="0"/>
        <v>25</v>
      </c>
      <c r="L14" s="2" t="str">
        <f t="shared" si="1"/>
        <v>no</v>
      </c>
    </row>
    <row r="15" spans="1:13">
      <c r="A15" t="s">
        <v>16</v>
      </c>
      <c r="B15" t="s">
        <v>32</v>
      </c>
      <c r="C15">
        <v>25</v>
      </c>
      <c r="D15">
        <v>20</v>
      </c>
      <c r="E15">
        <v>15</v>
      </c>
      <c r="F15">
        <v>5</v>
      </c>
      <c r="G15">
        <v>0</v>
      </c>
      <c r="H15">
        <v>0</v>
      </c>
      <c r="I15">
        <v>15</v>
      </c>
      <c r="J15">
        <v>0</v>
      </c>
      <c r="K15">
        <f t="shared" si="0"/>
        <v>80</v>
      </c>
      <c r="L15" s="9" t="str">
        <f t="shared" si="1"/>
        <v>yes</v>
      </c>
    </row>
    <row r="16" spans="1:13">
      <c r="A16" t="s">
        <v>17</v>
      </c>
      <c r="B16" t="s">
        <v>30</v>
      </c>
      <c r="C16">
        <v>40</v>
      </c>
      <c r="D16">
        <v>35</v>
      </c>
      <c r="E16">
        <v>25</v>
      </c>
      <c r="F16">
        <v>60</v>
      </c>
      <c r="G16">
        <v>30</v>
      </c>
      <c r="H16">
        <v>0</v>
      </c>
      <c r="I16">
        <v>35</v>
      </c>
      <c r="J16">
        <v>0</v>
      </c>
      <c r="K16">
        <f t="shared" si="0"/>
        <v>225</v>
      </c>
      <c r="L16" s="9" t="str">
        <f t="shared" si="1"/>
        <v>yes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F1DA-73D4-44FD-921E-0B62A369F176}">
  <dimension ref="A1:K22"/>
  <sheetViews>
    <sheetView zoomScale="89" workbookViewId="0">
      <selection activeCell="B19" sqref="B19"/>
    </sheetView>
  </sheetViews>
  <sheetFormatPr defaultRowHeight="14.4"/>
  <cols>
    <col min="1" max="1" width="23" style="4" bestFit="1" customWidth="1"/>
    <col min="2" max="2" width="10.109375" style="4" bestFit="1" customWidth="1"/>
    <col min="3" max="3" width="11.109375" style="4" bestFit="1" customWidth="1"/>
    <col min="4" max="4" width="10.109375" style="4" bestFit="1" customWidth="1"/>
    <col min="5" max="5" width="11.21875" style="4" bestFit="1" customWidth="1"/>
    <col min="6" max="6" width="10.77734375" style="4" bestFit="1" customWidth="1"/>
    <col min="7" max="7" width="49.77734375" style="4" bestFit="1" customWidth="1"/>
    <col min="8" max="16384" width="8.88671875" style="4"/>
  </cols>
  <sheetData>
    <row r="1" spans="1:11">
      <c r="A1" s="8" t="s">
        <v>50</v>
      </c>
      <c r="B1" s="8" t="s">
        <v>49</v>
      </c>
      <c r="C1" s="8" t="s">
        <v>54</v>
      </c>
      <c r="D1" s="8" t="s">
        <v>59</v>
      </c>
      <c r="E1" s="8" t="s">
        <v>55</v>
      </c>
      <c r="F1" s="8" t="s">
        <v>60</v>
      </c>
      <c r="G1" s="8"/>
      <c r="K1" s="5"/>
    </row>
    <row r="2" spans="1:11">
      <c r="A2" s="4" t="s">
        <v>3</v>
      </c>
      <c r="B2" s="4" t="s">
        <v>29</v>
      </c>
      <c r="C2" s="4">
        <f>'Highlight scores'!K2</f>
        <v>25</v>
      </c>
      <c r="D2" s="4">
        <v>70</v>
      </c>
      <c r="E2" s="4" t="str">
        <f>IF(C2&gt;=D2,"yes","no")</f>
        <v>no</v>
      </c>
      <c r="F2" s="6" t="str">
        <f>IF(E2="yes","pass","fail")</f>
        <v>fail</v>
      </c>
      <c r="G2" s="8"/>
    </row>
    <row r="3" spans="1:11">
      <c r="A3" s="4" t="s">
        <v>4</v>
      </c>
      <c r="B3" s="4" t="s">
        <v>32</v>
      </c>
      <c r="C3" s="4">
        <f>'Highlight scores'!K3</f>
        <v>85</v>
      </c>
      <c r="D3" s="4">
        <v>70</v>
      </c>
      <c r="E3" s="4" t="str">
        <f t="shared" ref="E3:E16" si="0">IF(C3&gt;=D3,"yes","no")</f>
        <v>yes</v>
      </c>
      <c r="F3" s="7" t="str">
        <f t="shared" ref="F3:F15" si="1">IF(E3="yes","pass","fail")</f>
        <v>pass</v>
      </c>
      <c r="G3" s="8"/>
    </row>
    <row r="4" spans="1:11">
      <c r="A4" s="4" t="s">
        <v>5</v>
      </c>
      <c r="B4" s="4" t="s">
        <v>30</v>
      </c>
      <c r="C4" s="4">
        <f>'Highlight scores'!K4</f>
        <v>135</v>
      </c>
      <c r="D4" s="4">
        <v>70</v>
      </c>
      <c r="E4" s="4" t="str">
        <f t="shared" si="0"/>
        <v>yes</v>
      </c>
      <c r="F4" s="7" t="str">
        <f t="shared" si="1"/>
        <v>pass</v>
      </c>
      <c r="G4" s="8"/>
    </row>
    <row r="5" spans="1:11">
      <c r="A5" s="4" t="s">
        <v>6</v>
      </c>
      <c r="B5" s="4" t="s">
        <v>31</v>
      </c>
      <c r="C5" s="4">
        <f>'Highlight scores'!K5</f>
        <v>140</v>
      </c>
      <c r="D5" s="4">
        <v>70</v>
      </c>
      <c r="E5" s="4" t="str">
        <f t="shared" si="0"/>
        <v>yes</v>
      </c>
      <c r="F5" s="7" t="str">
        <f t="shared" si="1"/>
        <v>pass</v>
      </c>
      <c r="G5" s="8"/>
    </row>
    <row r="6" spans="1:11">
      <c r="A6" s="4" t="s">
        <v>7</v>
      </c>
      <c r="B6" s="4" t="s">
        <v>29</v>
      </c>
      <c r="C6" s="4">
        <f>'Highlight scores'!K6</f>
        <v>25</v>
      </c>
      <c r="D6" s="4">
        <v>70</v>
      </c>
      <c r="E6" s="4" t="str">
        <f t="shared" si="0"/>
        <v>no</v>
      </c>
      <c r="F6" s="6" t="str">
        <f t="shared" si="1"/>
        <v>fail</v>
      </c>
      <c r="G6" s="8"/>
    </row>
    <row r="7" spans="1:11">
      <c r="A7" s="4" t="s">
        <v>8</v>
      </c>
      <c r="B7" s="4" t="s">
        <v>30</v>
      </c>
      <c r="C7" s="4">
        <f>'Highlight scores'!K7</f>
        <v>175</v>
      </c>
      <c r="D7" s="4">
        <v>70</v>
      </c>
      <c r="E7" s="4" t="str">
        <f t="shared" si="0"/>
        <v>yes</v>
      </c>
      <c r="F7" s="7" t="str">
        <f t="shared" si="1"/>
        <v>pass</v>
      </c>
      <c r="G7" s="8"/>
    </row>
    <row r="8" spans="1:11">
      <c r="A8" s="4" t="s">
        <v>9</v>
      </c>
      <c r="B8" s="4" t="s">
        <v>32</v>
      </c>
      <c r="C8" s="4">
        <f>'Highlight scores'!K8</f>
        <v>115</v>
      </c>
      <c r="D8" s="4">
        <v>70</v>
      </c>
      <c r="E8" s="4" t="str">
        <f t="shared" si="0"/>
        <v>yes</v>
      </c>
      <c r="F8" s="7" t="str">
        <f t="shared" si="1"/>
        <v>pass</v>
      </c>
      <c r="G8" s="8"/>
    </row>
    <row r="9" spans="1:11">
      <c r="A9" s="4" t="s">
        <v>10</v>
      </c>
      <c r="B9" s="4" t="s">
        <v>33</v>
      </c>
      <c r="C9" s="4">
        <f>'Highlight scores'!K9</f>
        <v>125</v>
      </c>
      <c r="D9" s="4">
        <v>70</v>
      </c>
      <c r="E9" s="4" t="str">
        <f t="shared" si="0"/>
        <v>yes</v>
      </c>
      <c r="F9" s="7" t="str">
        <f t="shared" si="1"/>
        <v>pass</v>
      </c>
      <c r="G9" s="8"/>
    </row>
    <row r="10" spans="1:11">
      <c r="A10" s="4" t="s">
        <v>11</v>
      </c>
      <c r="B10" s="4" t="s">
        <v>29</v>
      </c>
      <c r="C10" s="4">
        <f>'Highlight scores'!K10</f>
        <v>25</v>
      </c>
      <c r="D10" s="4">
        <v>70</v>
      </c>
      <c r="E10" s="4" t="str">
        <f t="shared" si="0"/>
        <v>no</v>
      </c>
      <c r="F10" s="6" t="str">
        <f t="shared" si="1"/>
        <v>fail</v>
      </c>
      <c r="G10" s="8"/>
    </row>
    <row r="11" spans="1:11">
      <c r="A11" s="4" t="s">
        <v>12</v>
      </c>
      <c r="B11" s="4" t="s">
        <v>30</v>
      </c>
      <c r="C11" s="4">
        <f>'Highlight scores'!K11</f>
        <v>155</v>
      </c>
      <c r="D11" s="4">
        <v>70</v>
      </c>
      <c r="E11" s="4" t="str">
        <f t="shared" si="0"/>
        <v>yes</v>
      </c>
      <c r="F11" s="7" t="str">
        <f t="shared" si="1"/>
        <v>pass</v>
      </c>
      <c r="G11" s="8"/>
    </row>
    <row r="12" spans="1:11">
      <c r="A12" s="4" t="s">
        <v>13</v>
      </c>
      <c r="B12" s="4" t="s">
        <v>32</v>
      </c>
      <c r="C12" s="4">
        <f>'Highlight scores'!K12</f>
        <v>95</v>
      </c>
      <c r="D12" s="4">
        <v>70</v>
      </c>
      <c r="E12" s="4" t="str">
        <f t="shared" si="0"/>
        <v>yes</v>
      </c>
      <c r="F12" s="7" t="str">
        <f t="shared" si="1"/>
        <v>pass</v>
      </c>
      <c r="G12" s="8"/>
    </row>
    <row r="13" spans="1:11">
      <c r="A13" s="4" t="s">
        <v>14</v>
      </c>
      <c r="B13" s="4" t="s">
        <v>31</v>
      </c>
      <c r="C13" s="4">
        <f>'Highlight scores'!K13</f>
        <v>165</v>
      </c>
      <c r="D13" s="4">
        <v>70</v>
      </c>
      <c r="E13" s="4" t="str">
        <f t="shared" si="0"/>
        <v>yes</v>
      </c>
      <c r="F13" s="7" t="str">
        <f t="shared" si="1"/>
        <v>pass</v>
      </c>
      <c r="G13" s="8"/>
    </row>
    <row r="14" spans="1:11">
      <c r="A14" s="4" t="s">
        <v>15</v>
      </c>
      <c r="B14" s="4" t="s">
        <v>29</v>
      </c>
      <c r="C14" s="4">
        <f>'Highlight scores'!K14</f>
        <v>25</v>
      </c>
      <c r="D14" s="4">
        <v>70</v>
      </c>
      <c r="E14" s="4" t="str">
        <f t="shared" si="0"/>
        <v>no</v>
      </c>
      <c r="F14" s="6" t="str">
        <f t="shared" si="1"/>
        <v>fail</v>
      </c>
      <c r="G14" s="8"/>
    </row>
    <row r="15" spans="1:11">
      <c r="A15" s="4" t="s">
        <v>16</v>
      </c>
      <c r="B15" s="4" t="s">
        <v>32</v>
      </c>
      <c r="C15" s="4">
        <f>'Highlight scores'!K15</f>
        <v>80</v>
      </c>
      <c r="D15" s="4">
        <v>70</v>
      </c>
      <c r="E15" s="4" t="str">
        <f t="shared" si="0"/>
        <v>yes</v>
      </c>
      <c r="F15" s="7" t="str">
        <f>IF(E15="yes","pass","fail")</f>
        <v>pass</v>
      </c>
      <c r="G15" s="8"/>
    </row>
    <row r="16" spans="1:11">
      <c r="A16" s="4" t="s">
        <v>17</v>
      </c>
      <c r="B16" s="4" t="s">
        <v>30</v>
      </c>
      <c r="C16" s="4">
        <f>'Highlight scores'!K16</f>
        <v>225</v>
      </c>
      <c r="D16" s="4">
        <v>70</v>
      </c>
      <c r="E16" s="4" t="str">
        <f t="shared" si="0"/>
        <v>yes</v>
      </c>
      <c r="F16" s="7" t="str">
        <f>IF(E16="yes","pass","fail")</f>
        <v>pass</v>
      </c>
      <c r="G16" s="8"/>
    </row>
    <row r="18" spans="1:2">
      <c r="A18" s="8" t="s">
        <v>61</v>
      </c>
      <c r="B18" s="4">
        <f>COUNTA(A2:A16)</f>
        <v>15</v>
      </c>
    </row>
    <row r="19" spans="1:2">
      <c r="A19" s="8" t="s">
        <v>62</v>
      </c>
      <c r="B19" s="4">
        <f>COUNTIF(E2:E16,"yes")</f>
        <v>11</v>
      </c>
    </row>
    <row r="20" spans="1:2">
      <c r="A20" s="8" t="s">
        <v>63</v>
      </c>
      <c r="B20" s="4">
        <f>COUNTIF(F2:F16,"pass")</f>
        <v>11</v>
      </c>
    </row>
    <row r="21" spans="1:2">
      <c r="A21" s="8" t="s">
        <v>64</v>
      </c>
      <c r="B21" s="4">
        <f>COUNTIF(F2:F16,"fail")</f>
        <v>4</v>
      </c>
    </row>
    <row r="22" spans="1:2">
      <c r="A22" s="8" t="s">
        <v>65</v>
      </c>
      <c r="B22" s="4">
        <f>B20/B18*100</f>
        <v>73.333333333333329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CCEA-DF87-4A6B-8A1F-D46B9389C12D}">
  <dimension ref="A1:L24"/>
  <sheetViews>
    <sheetView zoomScale="55" workbookViewId="0">
      <selection activeCell="G17" sqref="G17"/>
    </sheetView>
  </sheetViews>
  <sheetFormatPr defaultRowHeight="14.4"/>
  <cols>
    <col min="1" max="1" width="34" bestFit="1" customWidth="1"/>
    <col min="2" max="2" width="6.77734375" bestFit="1" customWidth="1"/>
    <col min="3" max="3" width="5.88671875" bestFit="1" customWidth="1"/>
    <col min="4" max="4" width="32.21875" bestFit="1" customWidth="1"/>
    <col min="5" max="5" width="14.6640625" bestFit="1" customWidth="1"/>
    <col min="6" max="6" width="38.6640625" bestFit="1" customWidth="1"/>
    <col min="7" max="7" width="14.109375" bestFit="1" customWidth="1"/>
    <col min="8" max="8" width="40.21875" bestFit="1" customWidth="1"/>
    <col min="9" max="9" width="14.6640625" bestFit="1" customWidth="1"/>
    <col min="10" max="10" width="13.77734375" bestFit="1" customWidth="1"/>
    <col min="11" max="11" width="28.5546875" bestFit="1" customWidth="1"/>
  </cols>
  <sheetData>
    <row r="1" spans="1:12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/>
    </row>
    <row r="2" spans="1:12">
      <c r="A2" t="s">
        <v>3</v>
      </c>
      <c r="B2">
        <v>1</v>
      </c>
      <c r="C2">
        <v>3</v>
      </c>
      <c r="D2" t="s">
        <v>77</v>
      </c>
      <c r="E2">
        <v>45</v>
      </c>
      <c r="F2" t="s">
        <v>87</v>
      </c>
      <c r="G2">
        <v>15</v>
      </c>
      <c r="H2" t="s">
        <v>98</v>
      </c>
      <c r="I2">
        <v>40</v>
      </c>
      <c r="J2">
        <v>85</v>
      </c>
      <c r="K2" s="9" t="s">
        <v>108</v>
      </c>
    </row>
    <row r="3" spans="1:12">
      <c r="A3" t="s">
        <v>4</v>
      </c>
      <c r="B3">
        <v>2</v>
      </c>
      <c r="C3">
        <v>1</v>
      </c>
      <c r="D3" t="s">
        <v>78</v>
      </c>
      <c r="E3">
        <v>50</v>
      </c>
      <c r="F3" t="s">
        <v>88</v>
      </c>
      <c r="G3">
        <v>20</v>
      </c>
      <c r="H3" t="s">
        <v>99</v>
      </c>
      <c r="I3">
        <v>35</v>
      </c>
      <c r="J3">
        <v>85</v>
      </c>
      <c r="K3" s="9" t="s">
        <v>108</v>
      </c>
    </row>
    <row r="4" spans="1:12">
      <c r="A4" t="s">
        <v>5</v>
      </c>
      <c r="B4">
        <v>3</v>
      </c>
      <c r="C4">
        <v>2</v>
      </c>
      <c r="D4" t="s">
        <v>79</v>
      </c>
      <c r="E4">
        <v>30</v>
      </c>
      <c r="F4" t="s">
        <v>89</v>
      </c>
      <c r="G4">
        <v>3</v>
      </c>
      <c r="H4" t="s">
        <v>100</v>
      </c>
      <c r="I4">
        <v>45</v>
      </c>
      <c r="J4">
        <v>75</v>
      </c>
      <c r="K4" s="9" t="s">
        <v>109</v>
      </c>
    </row>
    <row r="5" spans="1:12">
      <c r="A5" t="s">
        <v>6</v>
      </c>
      <c r="B5">
        <v>4</v>
      </c>
      <c r="C5">
        <v>1</v>
      </c>
      <c r="D5" t="s">
        <v>80</v>
      </c>
      <c r="E5">
        <v>60</v>
      </c>
      <c r="F5" t="s">
        <v>90</v>
      </c>
      <c r="G5" t="s">
        <v>97</v>
      </c>
      <c r="H5" t="s">
        <v>101</v>
      </c>
      <c r="I5">
        <v>-60</v>
      </c>
      <c r="J5">
        <v>0</v>
      </c>
      <c r="K5" s="2" t="s">
        <v>110</v>
      </c>
    </row>
    <row r="6" spans="1:12">
      <c r="A6" t="s">
        <v>7</v>
      </c>
      <c r="B6">
        <v>5</v>
      </c>
      <c r="C6">
        <v>3</v>
      </c>
      <c r="D6" t="s">
        <v>81</v>
      </c>
      <c r="E6">
        <v>55</v>
      </c>
      <c r="F6" t="s">
        <v>91</v>
      </c>
      <c r="G6" t="s">
        <v>97</v>
      </c>
      <c r="H6" t="s">
        <v>102</v>
      </c>
      <c r="I6">
        <v>-55</v>
      </c>
      <c r="J6">
        <v>0</v>
      </c>
      <c r="K6" s="2" t="s">
        <v>110</v>
      </c>
    </row>
    <row r="7" spans="1:12">
      <c r="A7" t="s">
        <v>8</v>
      </c>
      <c r="B7">
        <v>6</v>
      </c>
      <c r="C7">
        <v>2</v>
      </c>
      <c r="D7" t="s">
        <v>82</v>
      </c>
      <c r="E7">
        <v>40</v>
      </c>
      <c r="F7" t="s">
        <v>92</v>
      </c>
      <c r="G7">
        <v>18</v>
      </c>
      <c r="H7" t="s">
        <v>103</v>
      </c>
      <c r="I7">
        <v>30</v>
      </c>
      <c r="J7">
        <v>70</v>
      </c>
      <c r="K7" s="9" t="s">
        <v>111</v>
      </c>
    </row>
    <row r="8" spans="1:12">
      <c r="A8" t="s">
        <v>9</v>
      </c>
      <c r="B8">
        <v>7</v>
      </c>
      <c r="C8">
        <v>1</v>
      </c>
      <c r="D8" t="s">
        <v>83</v>
      </c>
      <c r="E8">
        <v>80</v>
      </c>
      <c r="F8" t="s">
        <v>93</v>
      </c>
      <c r="G8" t="s">
        <v>97</v>
      </c>
      <c r="H8" t="s">
        <v>104</v>
      </c>
      <c r="I8">
        <v>0</v>
      </c>
      <c r="J8">
        <v>80</v>
      </c>
      <c r="K8" s="9" t="s">
        <v>112</v>
      </c>
    </row>
    <row r="9" spans="1:12">
      <c r="A9" t="s">
        <v>10</v>
      </c>
      <c r="B9">
        <v>8</v>
      </c>
      <c r="C9">
        <v>4</v>
      </c>
      <c r="D9" t="s">
        <v>84</v>
      </c>
      <c r="E9">
        <v>65</v>
      </c>
      <c r="F9" t="s">
        <v>94</v>
      </c>
      <c r="G9">
        <v>8</v>
      </c>
      <c r="H9" t="s">
        <v>105</v>
      </c>
      <c r="I9">
        <v>30</v>
      </c>
      <c r="J9">
        <v>95</v>
      </c>
      <c r="K9" s="9" t="s">
        <v>113</v>
      </c>
    </row>
    <row r="10" spans="1:12">
      <c r="A10" t="s">
        <v>11</v>
      </c>
      <c r="B10">
        <v>9</v>
      </c>
      <c r="C10">
        <v>2</v>
      </c>
      <c r="D10" t="s">
        <v>85</v>
      </c>
      <c r="E10">
        <v>70</v>
      </c>
      <c r="F10" t="s">
        <v>95</v>
      </c>
      <c r="G10">
        <v>20</v>
      </c>
      <c r="H10" t="s">
        <v>106</v>
      </c>
      <c r="I10">
        <v>25</v>
      </c>
      <c r="J10">
        <v>95</v>
      </c>
      <c r="K10" s="9" t="s">
        <v>114</v>
      </c>
    </row>
    <row r="11" spans="1:12">
      <c r="A11" t="s">
        <v>12</v>
      </c>
      <c r="B11">
        <v>10</v>
      </c>
      <c r="C11">
        <v>1</v>
      </c>
      <c r="D11" t="s">
        <v>86</v>
      </c>
      <c r="E11">
        <v>20</v>
      </c>
      <c r="F11" t="s">
        <v>96</v>
      </c>
      <c r="G11" t="s">
        <v>97</v>
      </c>
      <c r="H11" t="s">
        <v>107</v>
      </c>
      <c r="I11">
        <v>0</v>
      </c>
      <c r="J11">
        <v>20</v>
      </c>
      <c r="K11" s="2" t="s">
        <v>115</v>
      </c>
    </row>
    <row r="13" spans="1:12">
      <c r="A13" t="s">
        <v>116</v>
      </c>
      <c r="B13">
        <f>COUNTA(A2:A11)</f>
        <v>10</v>
      </c>
    </row>
    <row r="14" spans="1:12">
      <c r="A14" t="s">
        <v>117</v>
      </c>
      <c r="B14">
        <f>COUNTIF(K2:K11,"YES*")</f>
        <v>7</v>
      </c>
    </row>
    <row r="15" spans="1:12">
      <c r="A15" t="s">
        <v>118</v>
      </c>
      <c r="B15">
        <f>COUNTIF(H2:H11,"*false positive*")</f>
        <v>1</v>
      </c>
    </row>
    <row r="16" spans="1:12">
      <c r="A16" t="s">
        <v>119</v>
      </c>
      <c r="B16">
        <f>COUNTIF(H2:H11,"*corrupted*")</f>
        <v>1</v>
      </c>
    </row>
    <row r="24" spans="7:7">
      <c r="G24" s="3"/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D1B4-BB37-4EBF-A0C4-05E2E433661E}">
  <dimension ref="A1:H21"/>
  <sheetViews>
    <sheetView tabSelected="1" zoomScale="85" zoomScaleNormal="85" workbookViewId="0">
      <selection activeCell="B26" sqref="B26"/>
    </sheetView>
  </sheetViews>
  <sheetFormatPr defaultRowHeight="14.4"/>
  <cols>
    <col min="1" max="1" width="21.44140625" bestFit="1" customWidth="1"/>
    <col min="2" max="2" width="27.77734375" bestFit="1" customWidth="1"/>
    <col min="3" max="3" width="54.109375" bestFit="1" customWidth="1"/>
    <col min="4" max="4" width="53.21875" bestFit="1" customWidth="1"/>
    <col min="5" max="5" width="69.77734375" bestFit="1" customWidth="1"/>
    <col min="6" max="6" width="10.44140625" bestFit="1" customWidth="1"/>
    <col min="7" max="7" width="38.5546875" bestFit="1" customWidth="1"/>
  </cols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60</v>
      </c>
      <c r="G1" s="1" t="s">
        <v>125</v>
      </c>
      <c r="H1" s="1"/>
    </row>
    <row r="2" spans="1:8">
      <c r="A2" t="s">
        <v>126</v>
      </c>
      <c r="B2" t="s">
        <v>141</v>
      </c>
      <c r="C2" t="s">
        <v>142</v>
      </c>
      <c r="D2" t="s">
        <v>143</v>
      </c>
      <c r="E2" t="s">
        <v>144</v>
      </c>
      <c r="F2" s="10" t="s">
        <v>145</v>
      </c>
      <c r="G2" t="s">
        <v>146</v>
      </c>
    </row>
    <row r="3" spans="1:8">
      <c r="A3" t="s">
        <v>127</v>
      </c>
      <c r="B3" t="s">
        <v>147</v>
      </c>
      <c r="C3" t="s">
        <v>148</v>
      </c>
      <c r="D3" t="s">
        <v>149</v>
      </c>
      <c r="E3" t="s">
        <v>150</v>
      </c>
      <c r="F3" s="10" t="s">
        <v>145</v>
      </c>
      <c r="G3" t="s">
        <v>151</v>
      </c>
    </row>
    <row r="4" spans="1:8">
      <c r="A4" t="s">
        <v>128</v>
      </c>
      <c r="B4" t="s">
        <v>216</v>
      </c>
      <c r="C4" t="s">
        <v>191</v>
      </c>
      <c r="D4" t="s">
        <v>190</v>
      </c>
      <c r="E4" t="s">
        <v>165</v>
      </c>
      <c r="F4" s="10" t="s">
        <v>145</v>
      </c>
      <c r="G4" t="s">
        <v>152</v>
      </c>
    </row>
    <row r="5" spans="1:8">
      <c r="A5" t="s">
        <v>129</v>
      </c>
      <c r="B5" t="s">
        <v>215</v>
      </c>
      <c r="C5" t="s">
        <v>192</v>
      </c>
      <c r="D5" t="s">
        <v>189</v>
      </c>
      <c r="E5" t="s">
        <v>166</v>
      </c>
      <c r="F5" s="10" t="s">
        <v>145</v>
      </c>
      <c r="G5" t="s">
        <v>153</v>
      </c>
    </row>
    <row r="6" spans="1:8">
      <c r="A6" t="s">
        <v>130</v>
      </c>
      <c r="B6" t="s">
        <v>214</v>
      </c>
      <c r="C6" t="s">
        <v>193</v>
      </c>
      <c r="D6" t="s">
        <v>188</v>
      </c>
      <c r="E6" t="s">
        <v>167</v>
      </c>
      <c r="F6" s="10" t="s">
        <v>145</v>
      </c>
      <c r="G6" t="s">
        <v>154</v>
      </c>
    </row>
    <row r="7" spans="1:8">
      <c r="A7" t="s">
        <v>131</v>
      </c>
      <c r="B7" t="s">
        <v>213</v>
      </c>
      <c r="C7" t="s">
        <v>194</v>
      </c>
      <c r="D7" t="s">
        <v>187</v>
      </c>
      <c r="E7" t="s">
        <v>168</v>
      </c>
      <c r="F7" s="10" t="s">
        <v>145</v>
      </c>
      <c r="G7" t="s">
        <v>155</v>
      </c>
    </row>
    <row r="8" spans="1:8">
      <c r="A8" t="s">
        <v>132</v>
      </c>
      <c r="B8" t="s">
        <v>212</v>
      </c>
      <c r="C8" t="s">
        <v>195</v>
      </c>
      <c r="D8" t="s">
        <v>186</v>
      </c>
      <c r="E8" t="s">
        <v>169</v>
      </c>
      <c r="F8" s="10" t="s">
        <v>145</v>
      </c>
      <c r="G8" t="s">
        <v>156</v>
      </c>
    </row>
    <row r="9" spans="1:8">
      <c r="A9" t="s">
        <v>133</v>
      </c>
      <c r="B9" t="s">
        <v>211</v>
      </c>
      <c r="C9" t="s">
        <v>196</v>
      </c>
      <c r="D9" t="s">
        <v>185</v>
      </c>
      <c r="E9" t="s">
        <v>170</v>
      </c>
      <c r="F9" s="10" t="s">
        <v>145</v>
      </c>
      <c r="G9" t="s">
        <v>157</v>
      </c>
    </row>
    <row r="10" spans="1:8">
      <c r="A10" t="s">
        <v>134</v>
      </c>
      <c r="B10" t="s">
        <v>210</v>
      </c>
      <c r="C10" t="s">
        <v>197</v>
      </c>
      <c r="D10" t="s">
        <v>184</v>
      </c>
      <c r="E10" t="s">
        <v>171</v>
      </c>
      <c r="F10" s="10" t="s">
        <v>145</v>
      </c>
      <c r="G10" t="s">
        <v>158</v>
      </c>
    </row>
    <row r="11" spans="1:8">
      <c r="A11" t="s">
        <v>135</v>
      </c>
      <c r="B11" t="s">
        <v>209</v>
      </c>
      <c r="C11" t="s">
        <v>198</v>
      </c>
      <c r="D11" t="s">
        <v>183</v>
      </c>
      <c r="E11" t="s">
        <v>172</v>
      </c>
      <c r="F11" s="10" t="s">
        <v>145</v>
      </c>
      <c r="G11" t="s">
        <v>159</v>
      </c>
    </row>
    <row r="12" spans="1:8">
      <c r="A12" t="s">
        <v>136</v>
      </c>
      <c r="B12" t="s">
        <v>208</v>
      </c>
      <c r="C12" t="s">
        <v>199</v>
      </c>
      <c r="D12" t="s">
        <v>182</v>
      </c>
      <c r="E12" t="s">
        <v>173</v>
      </c>
      <c r="F12" s="10" t="s">
        <v>145</v>
      </c>
      <c r="G12" t="s">
        <v>160</v>
      </c>
    </row>
    <row r="13" spans="1:8">
      <c r="A13" t="s">
        <v>137</v>
      </c>
      <c r="B13" t="s">
        <v>207</v>
      </c>
      <c r="C13" t="s">
        <v>200</v>
      </c>
      <c r="D13" t="s">
        <v>181</v>
      </c>
      <c r="E13" t="s">
        <v>174</v>
      </c>
      <c r="F13" s="10" t="s">
        <v>145</v>
      </c>
      <c r="G13" t="s">
        <v>161</v>
      </c>
    </row>
    <row r="14" spans="1:8">
      <c r="A14" t="s">
        <v>138</v>
      </c>
      <c r="B14" t="s">
        <v>206</v>
      </c>
      <c r="C14" t="s">
        <v>201</v>
      </c>
      <c r="D14" t="s">
        <v>180</v>
      </c>
      <c r="E14" t="s">
        <v>175</v>
      </c>
      <c r="F14" s="10" t="s">
        <v>145</v>
      </c>
      <c r="G14" t="s">
        <v>162</v>
      </c>
    </row>
    <row r="15" spans="1:8">
      <c r="A15" t="s">
        <v>139</v>
      </c>
      <c r="B15" t="s">
        <v>205</v>
      </c>
      <c r="C15" t="s">
        <v>202</v>
      </c>
      <c r="D15" t="s">
        <v>179</v>
      </c>
      <c r="E15" t="s">
        <v>176</v>
      </c>
      <c r="F15" s="10" t="s">
        <v>145</v>
      </c>
      <c r="G15" t="s">
        <v>163</v>
      </c>
    </row>
    <row r="16" spans="1:8">
      <c r="A16" t="s">
        <v>140</v>
      </c>
      <c r="B16" t="s">
        <v>204</v>
      </c>
      <c r="C16" t="s">
        <v>203</v>
      </c>
      <c r="D16" t="s">
        <v>178</v>
      </c>
      <c r="E16" t="s">
        <v>177</v>
      </c>
      <c r="F16" s="10" t="s">
        <v>145</v>
      </c>
      <c r="G16" t="s">
        <v>164</v>
      </c>
    </row>
    <row r="18" spans="1:2">
      <c r="A18" t="s">
        <v>217</v>
      </c>
      <c r="B18">
        <f>COUNTA(A2:A16)</f>
        <v>15</v>
      </c>
    </row>
    <row r="19" spans="1:2">
      <c r="A19" t="s">
        <v>63</v>
      </c>
      <c r="B19" s="11">
        <f>COUNTIF(F2:F16,"PASS")</f>
        <v>15</v>
      </c>
    </row>
    <row r="20" spans="1:2">
      <c r="A20" t="s">
        <v>64</v>
      </c>
      <c r="B20">
        <f>COUNTIF(F2:F16,"FAIL")</f>
        <v>0</v>
      </c>
    </row>
    <row r="21" spans="1:2">
      <c r="A21" t="s">
        <v>65</v>
      </c>
      <c r="B21">
        <f>B19/B18*100</f>
        <v>100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Match_events</vt:lpstr>
      <vt:lpstr>Highlight scores</vt:lpstr>
      <vt:lpstr>Test results</vt:lpstr>
      <vt:lpstr>Future_impact_tracking</vt:lpstr>
      <vt:lpstr>Edge_case_testing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Kaviamuthu Arulselvan</dc:creator>
  <cp:lastModifiedBy>Kaviamuthu Arulselvan</cp:lastModifiedBy>
  <dcterms:created xsi:type="dcterms:W3CDTF">2026-03-20T15:53:35Z</dcterms:created>
  <dcterms:modified xsi:type="dcterms:W3CDTF">2026-03-23T04:47:16Z</dcterms:modified>
</cp:coreProperties>
</file>